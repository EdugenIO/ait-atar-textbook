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803713667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ed lookups" sheetId="1" r:id="R28adfcbf231c4846"/>
    <x:sheet xmlns:r="http://schemas.openxmlformats.org/officeDocument/2006/relationships" name="Investigate" sheetId="2" r:id="R3ec96bc8254446fa"/>
    <x:sheet xmlns:r="http://schemas.openxmlformats.org/officeDocument/2006/relationships" name="Practice" sheetId="3" r:id="R5afdfdbd66f84072"/>
    <x:sheet xmlns:r="http://schemas.openxmlformats.org/officeDocument/2006/relationships" name="Sort and filter" sheetId="4" r:id="R525107cf802e43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8322D"/>
      <x:name val="Arial"/>
    </x:font>
    <x:font>
      <x:b/>
      <x:sz val="16"/>
      <x:color rgb="FF18322D"/>
      <x:name val="Arial"/>
    </x:font>
    <x:font>
      <x:i/>
      <x:sz val="11"/>
      <x:color rgb="FF53655A"/>
      <x:name val="Arial"/>
    </x:font>
    <x:font>
      <x:b/>
      <x:sz val="11"/>
      <x:color rgb="FFFFFFFF"/>
      <x:name val="Arial"/>
    </x:font>
    <x:font>
      <x:b/>
      <x:sz val="14"/>
      <x:color rgb="FF18322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85747"/>
      </x:patternFill>
    </x:fill>
    <x:fill>
      <x:patternFill patternType="solid">
        <x:fgColor rgb="FFFFF1C2"/>
      </x:patternFill>
    </x:fill>
    <x:fill>
      <x:patternFill patternType="solid">
        <x:fgColor rgb="FFEDF3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200" fontId="1" fillId="4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  <x:dxfs count="4">
    <x:dxf>
      <x:font>
        <x:b/>
        <x:color rgb="FF8A241B"/>
      </x:font>
      <x:fill>
        <x:patternFill patternType="solid">
          <x:bgColor rgb="FFFBE5E1"/>
        </x:patternFill>
      </x:fill>
    </x:dxf>
    <x:dxf>
      <x:font>
        <x:color rgb="FF7A3F00"/>
      </x:font>
      <x:fill>
        <x:patternFill patternType="solid">
          <x:bgColor rgb="FFFFF1C2"/>
        </x:patternFill>
      </x:fill>
    </x:dxf>
    <x:dxf>
      <x:font>
        <x:color rgb="FF7A3F00"/>
      </x:font>
      <x:fill>
        <x:patternFill patternType="solid">
          <x:bgColor rgb="FFFFF1C2"/>
        </x:patternFill>
      </x:fill>
    </x:dxf>
    <x:dxf>
      <x:font>
        <x:color rgb="FF7A3F00"/>
      </x:font>
      <x:fill>
        <x:patternFill patternType="solid">
          <x:bgColor rgb="FFFFF1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e7500742a14c34" /><Relationship Type="http://schemas.openxmlformats.org/officeDocument/2006/relationships/theme" Target="/xl/theme/theme1.xml" Id="R1c80309a5b2d45b1" /><Relationship Type="http://schemas.openxmlformats.org/officeDocument/2006/relationships/sharedStrings" Target="/xl/sharedStrings.xml" Id="R5eebf509a5cd4004" /><Relationship Type="http://schemas.openxmlformats.org/officeDocument/2006/relationships/worksheet" Target="/xl/worksheets/sheet1.xml" Id="R28adfcbf231c4846" /><Relationship Type="http://schemas.openxmlformats.org/officeDocument/2006/relationships/worksheet" Target="/xl/worksheets/sheet2.xml" Id="R3ec96bc8254446fa" /><Relationship Type="http://schemas.openxmlformats.org/officeDocument/2006/relationships/worksheet" Target="/xl/worksheets/sheet3.xml" Id="R5afdfdbd66f84072" /><Relationship Type="http://schemas.openxmlformats.org/officeDocument/2006/relationships/worksheet" Target="/xl/worksheets/sheet4.xml" Id="R525107cf802e43d6" /></Relationships>
</file>

<file path=xl/tables/table1.xml><?xml version="1.0" encoding="utf-8"?>
<x:table xmlns:x="http://schemas.openxmlformats.org/spreadsheetml/2006/main" id="1" name="CampaignResources" displayName="CampaignResources" ref="A7:D13" headerRowCount="1" totalsRowCount="0" totalsRowShown="0">
  <x:autoFilter ref="A7:D13"/>
  <x:tableColumns count="4">
    <x:tableColumn id="1" name="Code"/>
    <x:tableColumn id="2" name="Asset"/>
    <x:tableColumn id="3" name="Medium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b3f142aefb04dc0" /></Relationships>
</file>

<file path=xl/worksheets/sheet1.xml><?xml version="1.0" encoding="utf-8"?>
<x:worksheet xmlns:x="http://schemas.openxmlformats.org/spreadsheetml/2006/main">
  <x:sheetPr>
    <x:tabColor rgb="FF285747"/>
  </x:sheetPr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4" hidden="0" customWidth="1"/>
    <x:col min="5" max="5" width="18" hidden="0" customWidth="1"/>
    <x:col min="6" max="6" width="14" hidden="0" customWidth="1"/>
    <x:col min="7" max="7" width="17" hidden="0" customWidth="1"/>
    <x:col min="8" max="8" width="2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Campaign resources: exact lookups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5" t="str">
        <x:v>Fictional classroom data. Amber cells are editable test inputs. Select a result to inspect its formula.</x:v>
      </x:c>
      <x:c r="B4" s="3"/>
      <x:c r="C4" s="3"/>
      <x:c r="D4" s="3"/>
      <x:c r="E4" s="3"/>
      <x:c r="F4" s="3"/>
      <x:c r="G4" s="3"/>
      <x:c r="H4" s="3"/>
    </x:row>
    <x:row r="5" ht="24" customHeight="1">
      <x:c r="A5" s="3"/>
      <x:c r="B5" s="3"/>
      <x:c r="C5" s="3"/>
      <x:c r="D5" s="3"/>
      <x:c r="E5" s="3"/>
      <x:c r="F5" s="3"/>
      <x:c r="G5" s="3"/>
      <x:c r="H5" s="3"/>
    </x:row>
    <x:row r="6" ht="24" customHeight="1">
      <x:c r="A6" s="3"/>
      <x:c r="B6" s="3"/>
      <x:c r="C6" s="3"/>
      <x:c r="D6" s="3"/>
      <x:c r="E6" s="3"/>
      <x:c r="F6" s="3"/>
      <x:c r="G6" s="3"/>
      <x:c r="H6" s="3"/>
    </x:row>
    <x:row r="7" ht="28" customHeight="1">
      <x:c r="A7" s="8" t="str">
        <x:v>Code</x:v>
      </x:c>
      <x:c r="B7" s="8" t="str">
        <x:v>Asset</x:v>
      </x:c>
      <x:c r="C7" s="8" t="str">
        <x:v>Quantity</x:v>
      </x:c>
      <x:c r="D7" s="3"/>
      <x:c r="E7" s="8" t="str">
        <x:v>Test code</x:v>
      </x:c>
      <x:c r="F7" s="8" t="str">
        <x:v>Quantity</x:v>
      </x:c>
      <x:c r="G7" s="8" t="str">
        <x:v>What to notice</x:v>
      </x:c>
      <x:c r="H7" s="3"/>
    </x:row>
    <x:row r="8" ht="24" customHeight="1">
      <x:c r="A8" s="3" t="str">
        <x:v>P01</x:v>
      </x:c>
      <x:c r="B8" s="3" t="str">
        <x:v>Poster</x:v>
      </x:c>
      <x:c r="C8" s="3" t="n">
        <x:v>12</x:v>
      </x:c>
      <x:c r="D8" s="3"/>
      <x:c r="E8" s="9" t="str">
        <x:v>P01</x:v>
      </x:c>
      <x:c r="F8" s="11" t="n">
        <x:f>VLOOKUP(E8,$A$8:$C$10,3,FALSE)</x:f>
        <x:v>12</x:v>
      </x:c>
      <x:c r="G8" s="3" t="str">
        <x:v>First record</x:v>
      </x:c>
      <x:c r="H8" s="3"/>
    </x:row>
    <x:row r="9" ht="24" customHeight="1">
      <x:c r="A9" s="3" t="str">
        <x:v>A02</x:v>
      </x:c>
      <x:c r="B9" s="3" t="str">
        <x:v>Audio</x:v>
      </x:c>
      <x:c r="C9" s="3" t="n">
        <x:v>8</x:v>
      </x:c>
      <x:c r="D9" s="3"/>
      <x:c r="E9" s="9" t="str">
        <x:v>A02</x:v>
      </x:c>
      <x:c r="F9" s="11" t="n">
        <x:f>VLOOKUP(E9,$A$8:$C$10,3,FALSE)</x:f>
        <x:v>8</x:v>
      </x:c>
      <x:c r="G9" s="3" t="str">
        <x:v>Middle record</x:v>
      </x:c>
      <x:c r="H9" s="3"/>
    </x:row>
    <x:row r="10" ht="24" customHeight="1">
      <x:c r="A10" s="3" t="str">
        <x:v>V03</x:v>
      </x:c>
      <x:c r="B10" s="3" t="str">
        <x:v>Video</x:v>
      </x:c>
      <x:c r="C10" s="3" t="n">
        <x:v>30</x:v>
      </x:c>
      <x:c r="D10" s="3"/>
      <x:c r="E10" s="9" t="str">
        <x:v>V03</x:v>
      </x:c>
      <x:c r="F10" s="11" t="n">
        <x:f>VLOOKUP(E10,$A$8:$C$10,3,FALSE)</x:f>
        <x:v>30</x:v>
      </x:c>
      <x:c r="G10" s="3" t="str">
        <x:v>Last record</x:v>
      </x:c>
      <x:c r="H10" s="3"/>
    </x:row>
    <x:row r="11" ht="24" customHeight="1">
      <x:c r="A11" s="3"/>
      <x:c r="B11" s="3"/>
      <x:c r="C11" s="3"/>
      <x:c r="D11" s="3"/>
      <x:c r="E11" s="9" t="str">
        <x:v>X99</x:v>
      </x:c>
      <x:c r="F11" s="11" t="e">
        <x:f>VLOOKUP(E11,$A$8:$C$10,3,FALSE)</x:f>
        <x:v>#N/A</x:v>
      </x:c>
      <x:c r="G11" s="3" t="str">
        <x:v>Missing code</x:v>
      </x:c>
      <x:c r="H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</x:row>
    <x:row r="13" ht="24" customHeight="1">
      <x:c r="A13" s="3" t="str">
        <x:v>VLOOKUP searches the first column. FALSE requests an exact match.</x:v>
      </x:c>
      <x:c r="B13" s="3"/>
      <x:c r="C13" s="3"/>
      <x:c r="D13" s="3"/>
      <x:c r="E13" s="3"/>
      <x:c r="F13" s="3"/>
      <x:c r="G13" s="3"/>
      <x:c r="H13" s="3"/>
    </x:row>
    <x:row r="14" ht="24" customHeight="1">
      <x:c r="A14" s="3" t="str">
        <x:v>=VLOOKUP(E8,$A$8:$C$10,3,FALSE)</x:v>
      </x:c>
      <x:c r="B14" s="3"/>
      <x:c r="C14" s="3"/>
      <x:c r="D14" s="3"/>
      <x:c r="E14" s="3"/>
      <x:c r="F14" s="3"/>
      <x:c r="G14" s="3"/>
      <x:c r="H14" s="3"/>
    </x:row>
    <x:row r="15" ht="24" customHeight="1">
      <x:c r="A15" s="3" t="str">
        <x:v>Change C8 to 15. Both lookup layouts should update. Restore 12 after testing.</x:v>
      </x:c>
      <x:c r="B15" s="3"/>
      <x:c r="C15" s="3"/>
      <x:c r="D15" s="3"/>
      <x:c r="E15" s="3"/>
      <x:c r="F15" s="3"/>
      <x:c r="G15" s="3"/>
      <x:c r="H15" s="3"/>
    </x:row>
    <x:row r="16" ht="24" customHeight="1">
      <x:c r="A16" s="3"/>
      <x:c r="B16" s="3"/>
      <x:c r="C16" s="3"/>
      <x:c r="D16" s="3"/>
      <x:c r="E16" s="3"/>
      <x:c r="F16" s="3"/>
      <x:c r="G16" s="3"/>
      <x:c r="H16" s="3"/>
    </x:row>
    <x:row r="17" ht="28" customHeight="1">
      <x:c r="A17" s="12" t="str">
        <x:v>HLOOKUP across a row</x:v>
      </x:c>
      <x:c r="B17" s="3"/>
      <x:c r="C17" s="3"/>
      <x:c r="D17" s="3"/>
      <x:c r="E17" s="3"/>
      <x:c r="F17" s="8" t="str">
        <x:v>Test code</x:v>
      </x:c>
      <x:c r="G17" s="8" t="str">
        <x:v>Quantity</x:v>
      </x:c>
      <x:c r="H17" s="8" t="str">
        <x:v>What to notice</x:v>
      </x:c>
    </x:row>
    <x:row r="18" ht="28" customHeight="1">
      <x:c r="A18" s="8" t="str">
        <x:v>Code</x:v>
      </x:c>
      <x:c r="B18" s="8" t="str">
        <x:v>P01</x:v>
      </x:c>
      <x:c r="C18" s="8" t="str">
        <x:v>A02</x:v>
      </x:c>
      <x:c r="D18" s="8" t="str">
        <x:v>V03</x:v>
      </x:c>
      <x:c r="E18" s="3"/>
      <x:c r="F18" s="9" t="str">
        <x:v>P01</x:v>
      </x:c>
      <x:c r="G18" s="11" t="n">
        <x:f>HLOOKUP(F18,$B$18:$D$19,2,FALSE)</x:f>
        <x:v>12</x:v>
      </x:c>
      <x:c r="H18" s="3" t="str">
        <x:v>Same source</x:v>
      </x:c>
    </x:row>
    <x:row r="19" ht="24" customHeight="1">
      <x:c r="A19" s="3" t="str">
        <x:v>Quantity</x:v>
      </x:c>
      <x:c r="B19" s="11" t="n">
        <x:f>C8</x:f>
        <x:v>12</x:v>
      </x:c>
      <x:c r="C19" s="11" t="n">
        <x:f>C9</x:f>
        <x:v>8</x:v>
      </x:c>
      <x:c r="D19" s="11" t="n">
        <x:f>C10</x:f>
        <x:v>30</x:v>
      </x:c>
      <x:c r="E19" s="3"/>
      <x:c r="F19" s="9" t="str">
        <x:v>A02</x:v>
      </x:c>
      <x:c r="G19" s="11" t="n">
        <x:f>HLOOKUP(F19,$B$18:$D$19,2,FALSE)</x:f>
        <x:v>8</x:v>
      </x:c>
      <x:c r="H19" s="3" t="str">
        <x:v>Row 2 of range</x:v>
      </x:c>
    </x:row>
    <x:row r="20" ht="24" customHeight="1">
      <x:c r="A20" s="3"/>
      <x:c r="B20" s="3"/>
      <x:c r="C20" s="3"/>
      <x:c r="D20" s="3"/>
      <x:c r="E20" s="3"/>
      <x:c r="F20" s="9" t="str">
        <x:v>V03</x:v>
      </x:c>
      <x:c r="G20" s="11" t="n">
        <x:f>HLOOKUP(F20,$B$18:$D$19,2,FALSE)</x:f>
        <x:v>30</x:v>
      </x:c>
      <x:c r="H20" s="3" t="str">
        <x:v>Last column</x:v>
      </x:c>
    </x:row>
    <x:row r="21" ht="24" customHeight="1">
      <x:c r="A21" s="3"/>
      <x:c r="B21" s="3"/>
      <x:c r="C21" s="3"/>
      <x:c r="D21" s="3"/>
      <x:c r="E21" s="3"/>
      <x:c r="F21" s="9" t="str">
        <x:v>X99</x:v>
      </x:c>
      <x:c r="G21" s="11" t="e">
        <x:f>HLOOKUP(F21,$B$18:$D$19,2,FALSE)</x:f>
        <x:v>#N/A</x:v>
      </x:c>
      <x:c r="H21" s="3" t="str">
        <x:v>Missing code</x:v>
      </x:c>
    </x:row>
    <x:row r="22" ht="24" customHeight="1">
      <x:c r="A22" s="3"/>
      <x:c r="B22" s="3"/>
      <x:c r="C22" s="3"/>
      <x:c r="D22" s="3"/>
      <x:c r="E22" s="3"/>
      <x:c r="F22" s="3"/>
      <x:c r="G22" s="3"/>
      <x:c r="H22" s="3"/>
    </x:row>
    <x:row r="23" ht="24" customHeight="1">
      <x:c r="A23" s="3" t="str">
        <x:v>The two #N/A results are deliberate missing-code examples. Missing is not zero.</x:v>
      </x:c>
      <x:c r="B23" s="3"/>
      <x:c r="C23" s="3"/>
      <x:c r="D23" s="3"/>
      <x:c r="E23" s="3"/>
      <x:c r="F23" s="3"/>
      <x:c r="G23" s="3"/>
      <x:c r="H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</x:row>
    <x:row r="25" ht="24" customHeight="1">
      <x:c r="A25" s="3" t="str">
        <x:v>Data source: invented campaign quantities; no real people or purchases.</x:v>
      </x:c>
      <x:c r="B25" s="3"/>
      <x:c r="C25" s="3"/>
      <x:c r="D25" s="3"/>
      <x:c r="E25" s="3"/>
      <x:c r="F25" s="3"/>
      <x:c r="G25" s="3"/>
      <x:c r="H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</x:row>
    <x:row r="27" ht="24" customHeight="1">
      <x:c r="A27" s="3" t="str">
        <x:v>VLOOKUP reference</x:v>
      </x:c>
      <x:c r="B27" s="3" t="str">
        <x:v>https://support.microsoft.com/en-us/excel/functions/vlookup-function</x:v>
      </x:c>
      <x:c r="C27" s="3"/>
      <x:c r="D27" s="3"/>
      <x:c r="E27" s="3"/>
      <x:c r="F27" s="3"/>
      <x:c r="G27" s="3"/>
      <x:c r="H27" s="3"/>
    </x:row>
    <x:row r="28" ht="24" customHeight="1">
      <x:c r="A28" s="3" t="str">
        <x:v>HLOOKUP reference</x:v>
      </x:c>
      <x:c r="B28" s="3" t="str">
        <x:v>https://support.microsoft.com/en-us/excel/functions/hlookup-function</x:v>
      </x:c>
      <x:c r="C28" s="3"/>
      <x:c r="D28" s="3"/>
      <x:c r="E28" s="3"/>
      <x:c r="F28" s="3"/>
      <x:c r="G28" s="3"/>
      <x:c r="H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</x:row>
  </x:sheetData>
  <x:conditionalFormatting sqref="F8:F13">
    <x:cfRule type="containsErrors" dxfId="1" priority="1"/>
  </x:conditionalFormatting>
  <x:conditionalFormatting sqref="G18:G21">
    <x:cfRule type="containsErrors" dxfId="3" priority="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747"/>
  </x:sheetPr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4" hidden="0" customWidth="1"/>
    <x:col min="5" max="5" width="18" hidden="0" customWidth="1"/>
    <x:col min="6" max="6" width="14" hidden="0" customWidth="1"/>
    <x:col min="7" max="7" width="17" hidden="0" customWidth="1"/>
    <x:col min="8" max="8" width="2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Investigate missing and duplicate codes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5" t="str">
        <x:v>This table deliberately contains a duplicate. A returned number does not prove a unique match.</x:v>
      </x:c>
      <x:c r="B4" s="3"/>
      <x:c r="C4" s="3"/>
      <x:c r="D4" s="3"/>
      <x:c r="E4" s="3"/>
      <x:c r="F4" s="3"/>
      <x:c r="G4" s="3"/>
      <x:c r="H4" s="3"/>
    </x:row>
    <x:row r="5" ht="24" customHeight="1">
      <x:c r="A5" s="3"/>
      <x:c r="B5" s="3"/>
      <x:c r="C5" s="3"/>
      <x:c r="D5" s="3"/>
      <x:c r="E5" s="3"/>
      <x:c r="F5" s="3"/>
      <x:c r="G5" s="3"/>
      <x:c r="H5" s="3"/>
    </x:row>
    <x:row r="6" ht="24" customHeight="1">
      <x:c r="A6" s="3"/>
      <x:c r="B6" s="3"/>
      <x:c r="C6" s="3"/>
      <x:c r="D6" s="3"/>
      <x:c r="E6" s="3"/>
      <x:c r="F6" s="3"/>
      <x:c r="G6" s="3"/>
      <x:c r="H6" s="3"/>
    </x:row>
    <x:row r="7" ht="28" customHeight="1">
      <x:c r="A7" s="8" t="str">
        <x:v>Code</x:v>
      </x:c>
      <x:c r="B7" s="8" t="str">
        <x:v>Asset</x:v>
      </x:c>
      <x:c r="C7" s="8" t="str">
        <x:v>Quantity</x:v>
      </x:c>
      <x:c r="D7" s="3"/>
      <x:c r="E7" s="8" t="str">
        <x:v>Test code</x:v>
      </x:c>
      <x:c r="F7" s="8" t="str">
        <x:v>Raw lookup</x:v>
      </x:c>
      <x:c r="G7" s="8" t="str">
        <x:v>Matches</x:v>
      </x:c>
      <x:c r="H7" s="8" t="str">
        <x:v>Interpretation</x:v>
      </x:c>
    </x:row>
    <x:row r="8" ht="24" customHeight="1">
      <x:c r="A8" s="3" t="str">
        <x:v>P01</x:v>
      </x:c>
      <x:c r="B8" s="3" t="str">
        <x:v>Poster</x:v>
      </x:c>
      <x:c r="C8" s="3" t="n">
        <x:v>12</x:v>
      </x:c>
      <x:c r="D8" s="3"/>
      <x:c r="E8" s="9" t="str">
        <x:v>A02</x:v>
      </x:c>
      <x:c r="F8" s="11" t="n">
        <x:f>VLOOKUP(E8,$A$8:$C$13,3,FALSE)</x:f>
        <x:v>8</x:v>
      </x:c>
      <x:c r="G8" s="11" t="n">
        <x:f>COUNTIFS($A$8:$A$13,E8)</x:f>
        <x:v>2</x:v>
      </x:c>
      <x:c r="H8" s="3" t="str">
        <x:f>IF(E8="","Enter a code",IF(G8=0,"Missing code",IF(G8&gt;1,"Duplicate code","One match")))</x:f>
        <x:v>Duplicate code</x:v>
      </x:c>
    </x:row>
    <x:row r="9" ht="24" customHeight="1">
      <x:c r="A9" s="3" t="str">
        <x:v>A02</x:v>
      </x:c>
      <x:c r="B9" s="3" t="str">
        <x:v>Audio</x:v>
      </x:c>
      <x:c r="C9" s="3" t="n">
        <x:v>8</x:v>
      </x:c>
      <x:c r="D9" s="3"/>
      <x:c r="E9" s="9" t="str">
        <x:v>X99</x:v>
      </x:c>
      <x:c r="F9" s="11" t="e">
        <x:f>VLOOKUP(E9,$A$8:$C$13,3,FALSE)</x:f>
        <x:v>#N/A</x:v>
      </x:c>
      <x:c r="G9" s="11" t="n">
        <x:f>COUNTIFS($A$8:$A$13,E9)</x:f>
        <x:v>0</x:v>
      </x:c>
      <x:c r="H9" s="3" t="str">
        <x:f>IF(E9="","Enter a code",IF(G9=0,"Missing code",IF(G9&gt;1,"Duplicate code","One match")))</x:f>
        <x:v>Missing code</x:v>
      </x:c>
    </x:row>
    <x:row r="10" ht="24" customHeight="1">
      <x:c r="A10" s="3" t="str">
        <x:v>V03</x:v>
      </x:c>
      <x:c r="B10" s="3" t="str">
        <x:v>Video</x:v>
      </x:c>
      <x:c r="C10" s="3" t="n">
        <x:v>30</x:v>
      </x:c>
      <x:c r="D10" s="3"/>
      <x:c r="E10" s="9" t="str">
        <x:v>Z00</x:v>
      </x:c>
      <x:c r="F10" s="11" t="n">
        <x:f>VLOOKUP(E10,$A$8:$C$13,3,FALSE)</x:f>
        <x:v>0</x:v>
      </x:c>
      <x:c r="G10" s="11" t="n">
        <x:f>COUNTIFS($A$8:$A$13,E10)</x:f>
        <x:v>1</x:v>
      </x:c>
      <x:c r="H10" s="3" t="str">
        <x:f>IF(E10="","Enter a code",IF(G10=0,"Missing code",IF(G10&gt;1,"Duplicate code","One match")))</x:f>
        <x:v>One match</x:v>
      </x:c>
    </x:row>
    <x:row r="11" ht="24" customHeight="1">
      <x:c r="A11" s="3" t="str">
        <x:v>A02</x:v>
      </x:c>
      <x:c r="B11" s="3" t="str">
        <x:v>Audio revision</x:v>
      </x:c>
      <x:c r="C11" s="3" t="n">
        <x:v>80</x:v>
      </x:c>
      <x:c r="D11" s="3"/>
      <x:c r="E11" s="9" t="str">
        <x:v>P01 </x:v>
      </x:c>
      <x:c r="F11" s="11" t="n">
        <x:f>VLOOKUP(E11,$A$8:$C$13,3,FALSE)</x:f>
        <x:v>99</x:v>
      </x:c>
      <x:c r="G11" s="11" t="n">
        <x:f>COUNTIFS($A$8:$A$13,E11)</x:f>
        <x:v>1</x:v>
      </x:c>
      <x:c r="H11" s="3" t="str">
        <x:f>IF(E11="","Enter a code",IF(G11=0,"Missing code",IF(G11&gt;1,"Duplicate code","One match")))</x:f>
        <x:v>One match</x:v>
      </x:c>
    </x:row>
    <x:row r="12" ht="24" customHeight="1">
      <x:c r="A12" s="3" t="str">
        <x:v>Z00</x:v>
      </x:c>
      <x:c r="B12" s="3" t="str">
        <x:v>Spare cards</x:v>
      </x:c>
      <x:c r="C12" s="3" t="n">
        <x:v>0</x:v>
      </x:c>
      <x:c r="D12" s="3"/>
      <x:c r="E12" s="9" t="str">
        <x:v>P01</x:v>
      </x:c>
      <x:c r="F12" s="11" t="n">
        <x:f>VLOOKUP(E12,$A$8:$C$13,3,FALSE)</x:f>
        <x:v>12</x:v>
      </x:c>
      <x:c r="G12" s="11" t="n">
        <x:f>COUNTIFS($A$8:$A$13,E12)</x:f>
        <x:v>1</x:v>
      </x:c>
      <x:c r="H12" s="3" t="str">
        <x:f>IF(E12="","Enter a code",IF(G12=0,"Missing code",IF(G12&gt;1,"Duplicate code","One match")))</x:f>
        <x:v>One match</x:v>
      </x:c>
    </x:row>
    <x:row r="13" ht="24" customHeight="1">
      <x:c r="A13" s="3" t="str">
        <x:v>P01 </x:v>
      </x:c>
      <x:c r="B13" s="3" t="str">
        <x:v>Trailing space</x:v>
      </x:c>
      <x:c r="C13" s="3" t="n">
        <x:v>99</x:v>
      </x:c>
      <x:c r="D13" s="3"/>
      <x:c r="E13" s="9" t="str"/>
      <x:c r="F13" s="11" t="e">
        <x:f>VLOOKUP(E13,$A$8:$C$13,3,FALSE)</x:f>
        <x:v>#N/A</x:v>
      </x:c>
      <x:c r="G13" s="11" t="n">
        <x:f>COUNTIFS($A$8:$A$13,E13)</x:f>
        <x:v>0</x:v>
      </x:c>
      <x:c r="H13" s="3" t="str">
        <x:f>IF(E13="","Enter a code",IF(G13=0,"Missing code",IF(G13&gt;1,"Duplicate code","One match")))</x:f>
        <x:v>Enter a code</x:v>
      </x:c>
    </x:row>
    <x:row r="14" ht="24" customHeight="1">
      <x:c r="A14" s="3"/>
      <x:c r="B14" s="3"/>
      <x:c r="C14" s="3"/>
      <x:c r="D14" s="3"/>
      <x:c r="E14" s="3"/>
      <x:c r="F14" s="3"/>
      <x:c r="G14" s="3"/>
      <x:c r="H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</x:row>
    <x:row r="16" ht="24" customHeight="1">
      <x:c r="A16" s="3" t="str">
        <x:v>A02 occurs twice. Exact-match VLOOKUP returns the first matching row, not the sum.</x:v>
      </x:c>
      <x:c r="B16" s="3"/>
      <x:c r="C16" s="3"/>
      <x:c r="D16" s="3"/>
      <x:c r="E16" s="3"/>
      <x:c r="F16" s="3"/>
      <x:c r="G16" s="3"/>
      <x:c r="H16" s="3"/>
    </x:row>
    <x:row r="17" ht="24" customHeight="1">
      <x:c r="A17" s="3" t="str">
        <x:v>P01 and P01 plus a trailing space are different keys. Inspect the formula bar.</x:v>
      </x:c>
      <x:c r="B17" s="3"/>
      <x:c r="C17" s="3"/>
      <x:c r="D17" s="3"/>
      <x:c r="E17" s="3"/>
      <x:c r="F17" s="3"/>
      <x:c r="G17" s="3"/>
      <x:c r="H17" s="3"/>
    </x:row>
    <x:row r="18" ht="24" customHeight="1">
      <x:c r="A18" s="3" t="str">
        <x:v>Z00 has a real quantity of zero. X99 is absent. A blank test needs a code.</x:v>
      </x:c>
      <x:c r="B18" s="3"/>
      <x:c r="C18" s="3"/>
      <x:c r="D18" s="3"/>
      <x:c r="E18" s="3"/>
      <x:c r="F18" s="3"/>
      <x:c r="G18" s="3"/>
      <x:c r="H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</x:row>
    <x:row r="20" ht="24" customHeight="1">
      <x:c r="A20" s="3" t="str">
        <x:v>In your copy: swap both A02 records as whole rows. Predict the returned quantity.</x:v>
      </x:c>
      <x:c r="B20" s="3"/>
      <x:c r="C20" s="3"/>
      <x:c r="D20" s="3"/>
      <x:c r="E20" s="3"/>
      <x:c r="F20" s="3"/>
      <x:c r="G20" s="3"/>
      <x:c r="H20" s="3"/>
    </x:row>
    <x:row r="21" ht="24" customHeight="1">
      <x:c r="A21" s="3" t="str">
        <x:v>Do not delete a duplicate until you have checked which record is authoritative.</x:v>
      </x:c>
      <x:c r="B21" s="3"/>
      <x:c r="C21" s="3"/>
      <x:c r="D21" s="3"/>
      <x:c r="E21" s="3"/>
      <x:c r="F21" s="3"/>
      <x:c r="G21" s="3"/>
      <x:c r="H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</x:row>
  </x:sheetData>
  <x:conditionalFormatting sqref="H8:H13">
    <x:cfRule type="containsText" dxfId="0" priority="1" operator="containsText" text="Duplicate"/>
  </x:conditionalFormatting>
  <x:conditionalFormatting sqref="F8:F13">
    <x:cfRule type="containsErrors" dxfId="2" priority="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747"/>
  </x:sheetPr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4" hidden="0" customWidth="1"/>
    <x:col min="5" max="5" width="18" hidden="0" customWidth="1"/>
    <x:col min="6" max="6" width="14" hidden="0" customWidth="1"/>
    <x:col min="7" max="7" width="17" hidden="0" customWidth="1"/>
    <x:col min="8" max="8" width="2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Independent task: a library campaign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5" t="str">
        <x:v>Use the worked sheet for a model. Predictions and results are left blank for your attempt.</x:v>
      </x:c>
      <x:c r="B4" s="3"/>
      <x:c r="C4" s="3"/>
      <x:c r="D4" s="3"/>
      <x:c r="E4" s="3"/>
      <x:c r="F4" s="3"/>
      <x:c r="G4" s="3"/>
      <x:c r="H4" s="3"/>
    </x:row>
    <x:row r="5" ht="24" customHeight="1">
      <x:c r="A5" s="3"/>
      <x:c r="B5" s="3"/>
      <x:c r="C5" s="3"/>
      <x:c r="D5" s="3"/>
      <x:c r="E5" s="3"/>
      <x:c r="F5" s="3"/>
      <x:c r="G5" s="3"/>
      <x:c r="H5" s="3"/>
    </x:row>
    <x:row r="6" ht="24" customHeight="1">
      <x:c r="A6" s="3"/>
      <x:c r="B6" s="3"/>
      <x:c r="C6" s="3"/>
      <x:c r="D6" s="3"/>
      <x:c r="E6" s="3"/>
      <x:c r="F6" s="3"/>
      <x:c r="G6" s="3"/>
      <x:c r="H6" s="3"/>
    </x:row>
    <x:row r="7" ht="28" customHeight="1">
      <x:c r="A7" s="8" t="str">
        <x:v>Code</x:v>
      </x:c>
      <x:c r="B7" s="8" t="str">
        <x:v>Asset</x:v>
      </x:c>
      <x:c r="C7" s="8" t="str">
        <x:v>Quantity</x:v>
      </x:c>
      <x:c r="D7" s="3"/>
      <x:c r="E7" s="8" t="str">
        <x:v>Test code</x:v>
      </x:c>
      <x:c r="F7" s="8" t="str">
        <x:v>Your result</x:v>
      </x:c>
      <x:c r="G7" s="8" t="str">
        <x:v>Your prediction</x:v>
      </x:c>
      <x:c r="H7" s="3"/>
    </x:row>
    <x:row r="8" ht="24" customHeight="1">
      <x:c r="A8" s="3" t="str">
        <x:v>L01</x:v>
      </x:c>
      <x:c r="B8" s="3" t="str">
        <x:v>Library poster</x:v>
      </x:c>
      <x:c r="C8" s="3" t="n">
        <x:v>18</x:v>
      </x:c>
      <x:c r="D8" s="3"/>
      <x:c r="E8" s="9" t="str">
        <x:v>L01</x:v>
      </x:c>
      <x:c r="F8" s="9"/>
      <x:c r="G8" s="9"/>
      <x:c r="H8" s="3"/>
    </x:row>
    <x:row r="9" ht="24" customHeight="1">
      <x:c r="A9" s="3" t="str">
        <x:v>L02</x:v>
      </x:c>
      <x:c r="B9" s="3" t="str">
        <x:v>Audio notice</x:v>
      </x:c>
      <x:c r="C9" s="3" t="n">
        <x:v>6</x:v>
      </x:c>
      <x:c r="D9" s="3"/>
      <x:c r="E9" s="9" t="str">
        <x:v>L02</x:v>
      </x:c>
      <x:c r="F9" s="9"/>
      <x:c r="G9" s="9"/>
      <x:c r="H9" s="3"/>
    </x:row>
    <x:row r="10" ht="24" customHeight="1">
      <x:c r="A10" s="3" t="str">
        <x:v>L03</x:v>
      </x:c>
      <x:c r="B10" s="3" t="str">
        <x:v>Video teaser</x:v>
      </x:c>
      <x:c r="C10" s="3" t="n">
        <x:v>24</x:v>
      </x:c>
      <x:c r="D10" s="3"/>
      <x:c r="E10" s="9" t="str">
        <x:v>L03</x:v>
      </x:c>
      <x:c r="F10" s="9"/>
      <x:c r="G10" s="9"/>
      <x:c r="H10" s="3"/>
    </x:row>
    <x:row r="11" ht="24" customHeight="1">
      <x:c r="A11" s="3" t="str">
        <x:v>L04</x:v>
      </x:c>
      <x:c r="B11" s="3" t="str">
        <x:v>Screen slide</x:v>
      </x:c>
      <x:c r="C11" s="3" t="n">
        <x:v>0</x:v>
      </x:c>
      <x:c r="D11" s="3"/>
      <x:c r="E11" s="9" t="str">
        <x:v>L04</x:v>
      </x:c>
      <x:c r="F11" s="9"/>
      <x:c r="G11" s="9"/>
      <x:c r="H11" s="3"/>
    </x:row>
    <x:row r="12" ht="24" customHeight="1">
      <x:c r="A12" s="3"/>
      <x:c r="B12" s="3"/>
      <x:c r="C12" s="3"/>
      <x:c r="D12" s="3"/>
      <x:c r="E12" s="9" t="str">
        <x:v>L99</x:v>
      </x:c>
      <x:c r="F12" s="9"/>
      <x:c r="G12" s="9"/>
      <x:c r="H12" s="3"/>
    </x:row>
    <x:row r="13" ht="24" customHeight="1">
      <x:c r="A13" s="3"/>
      <x:c r="B13" s="3"/>
      <x:c r="C13" s="3"/>
      <x:c r="D13" s="3"/>
      <x:c r="E13" s="9" t="str">
        <x:v>L02 </x:v>
      </x:c>
      <x:c r="F13" s="9"/>
      <x:c r="G13" s="9"/>
      <x:c r="H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</x:row>
    <x:row r="15" ht="24" customHeight="1">
      <x:c r="A15" s="3" t="str">
        <x:v>Write an exact VLOOKUP in F8 using A8:C11. Anchor the source, then fill down.</x:v>
      </x:c>
      <x:c r="B15" s="3"/>
      <x:c r="C15" s="3"/>
      <x:c r="D15" s="3"/>
      <x:c r="E15" s="3"/>
      <x:c r="F15" s="3"/>
      <x:c r="G15" s="3"/>
      <x:c r="H15" s="3"/>
    </x:row>
    <x:row r="16" ht="24" customHeight="1">
      <x:c r="A16" s="3" t="str">
        <x:v>Explain the real zero, the missing code and the trailing-space test.</x:v>
      </x:c>
      <x:c r="B16" s="3"/>
      <x:c r="C16" s="3"/>
      <x:c r="D16" s="3"/>
      <x:c r="E16" s="3"/>
      <x:c r="F16" s="3"/>
      <x:c r="G16" s="3"/>
      <x:c r="H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</x:row>
    <x:row r="18" ht="24" customHeight="1">
      <x:c r="A18" s="12" t="str">
        <x:v>Build the horizontal version</x:v>
      </x:c>
      <x:c r="B18" s="3"/>
      <x:c r="C18" s="3"/>
      <x:c r="D18" s="3"/>
      <x:c r="E18" s="3"/>
      <x:c r="F18" s="3"/>
      <x:c r="G18" s="3"/>
      <x:c r="H18" s="3"/>
    </x:row>
    <x:row r="19" ht="28" customHeight="1">
      <x:c r="A19" s="8" t="str">
        <x:v>Code</x:v>
      </x:c>
      <x:c r="B19" s="8" t="str">
        <x:v>L01</x:v>
      </x:c>
      <x:c r="C19" s="8" t="str">
        <x:v>L02</x:v>
      </x:c>
      <x:c r="D19" s="8" t="str">
        <x:v>L03</x:v>
      </x:c>
      <x:c r="E19" s="8" t="str">
        <x:v>L04</x:v>
      </x:c>
      <x:c r="F19" s="8" t="str">
        <x:v>Test code</x:v>
      </x:c>
      <x:c r="G19" s="8" t="str">
        <x:v>Your result</x:v>
      </x:c>
      <x:c r="H19" s="8" t="str">
        <x:v>Your prediction</x:v>
      </x:c>
    </x:row>
    <x:row r="20" ht="24" customHeight="1">
      <x:c r="A20" s="3" t="str">
        <x:v>Quantity</x:v>
      </x:c>
      <x:c r="B20" s="3" t="n">
        <x:v>18</x:v>
      </x:c>
      <x:c r="C20" s="3" t="n">
        <x:v>6</x:v>
      </x:c>
      <x:c r="D20" s="3" t="n">
        <x:v>24</x:v>
      </x:c>
      <x:c r="E20" s="3" t="n">
        <x:v>0</x:v>
      </x:c>
      <x:c r="F20" s="13" t="str">
        <x:v>L03</x:v>
      </x:c>
      <x:c r="G20" s="9"/>
      <x:c r="H20" s="9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</x:row>
    <x:row r="23" ht="24" customHeight="1">
      <x:c r="A23" s="3" t="str">
        <x:v>Write HLOOKUP in G20. Use B19:E20 and row index 2. Change F20 to test L04 and L99.</x:v>
      </x:c>
      <x:c r="B23" s="3"/>
      <x:c r="C23" s="3"/>
      <x:c r="D23" s="3"/>
      <x:c r="E23" s="3"/>
      <x:c r="F23" s="3"/>
      <x:c r="G23" s="3"/>
      <x:c r="H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</x:row>
    <x:row r="25" ht="24" customHeight="1">
      <x:c r="A25" s="3" t="str">
        <x:v>Explain how the row/column index counts within the selected source range.</x:v>
      </x:c>
      <x:c r="B25" s="3"/>
      <x:c r="C25" s="3"/>
      <x:c r="D25" s="3"/>
      <x:c r="E25" s="3"/>
      <x:c r="F25" s="3"/>
      <x:c r="G25" s="3"/>
      <x:c r="H25" s="3"/>
    </x:row>
    <x:row r="26" ht="24" customHeight="1">
      <x:c r="A26" s="3" t="str">
        <x:v>Save your own .xlsx copy. Compare with the guide only after you have tried.</x:v>
      </x:c>
      <x:c r="B26" s="3"/>
      <x:c r="C26" s="3"/>
      <x:c r="D26" s="3"/>
      <x:c r="E26" s="3"/>
      <x:c r="F26" s="3"/>
      <x:c r="G26" s="3"/>
      <x:c r="H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5747"/>
  </x:sheetPr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5" hidden="0" customWidth="1"/>
    <x:col min="5" max="5" width="18" hidden="0" customWidth="1"/>
    <x:col min="6" max="6" width="14" hidden="0" customWidth="1"/>
    <x:col min="7" max="7" width="17" hidden="0" customWidth="1"/>
    <x:col min="8" max="8" width="24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</x:row>
    <x:row r="2" ht="32" customHeight="1">
      <x:c r="A2" s="4" t="str">
        <x:v>Sort complete records and filter a view</x:v>
      </x:c>
      <x:c r="B2" s="3"/>
      <x:c r="C2" s="3"/>
      <x:c r="D2" s="3"/>
      <x:c r="E2" s="3"/>
      <x:c r="F2" s="3"/>
      <x:c r="G2" s="3"/>
      <x:c r="H2" s="3"/>
    </x:row>
    <x:row r="3" ht="24" customHeight="1">
      <x:c r="A3" s="3"/>
      <x:c r="B3" s="3"/>
      <x:c r="C3" s="3"/>
      <x:c r="D3" s="3"/>
      <x:c r="E3" s="3"/>
      <x:c r="F3" s="3"/>
      <x:c r="G3" s="3"/>
      <x:c r="H3" s="3"/>
    </x:row>
    <x:row r="4" ht="24" customHeight="1">
      <x:c r="A4" s="5" t="str">
        <x:v>Select the table or a cell inside it. Keep Code, Asset, Medium and Quantity together.</x:v>
      </x:c>
      <x:c r="B4" s="3"/>
      <x:c r="C4" s="3"/>
      <x:c r="D4" s="3"/>
      <x:c r="E4" s="3"/>
      <x:c r="F4" s="3"/>
      <x:c r="G4" s="3"/>
      <x:c r="H4" s="3"/>
    </x:row>
    <x:row r="5" ht="24" customHeight="1">
      <x:c r="A5" s="3"/>
      <x:c r="B5" s="3"/>
      <x:c r="C5" s="3"/>
      <x:c r="D5" s="3"/>
      <x:c r="E5" s="3"/>
      <x:c r="F5" s="3"/>
      <x:c r="G5" s="3"/>
      <x:c r="H5" s="3"/>
    </x:row>
    <x:row r="6" ht="24" customHeight="1">
      <x:c r="A6" s="3"/>
      <x:c r="B6" s="3"/>
      <x:c r="C6" s="3"/>
      <x:c r="D6" s="3"/>
      <x:c r="E6" s="3"/>
      <x:c r="F6" s="3"/>
      <x:c r="G6" s="3"/>
      <x:c r="H6" s="3"/>
    </x:row>
    <x:row r="7" ht="28" customHeight="1">
      <x:c r="A7" s="8" t="str">
        <x:v>Code</x:v>
      </x:c>
      <x:c r="B7" s="8" t="str">
        <x:v>Asset</x:v>
      </x:c>
      <x:c r="C7" s="8" t="str">
        <x:v>Medium</x:v>
      </x:c>
      <x:c r="D7" s="8" t="str">
        <x:v>Quantity</x:v>
      </x:c>
      <x:c r="E7" s="3"/>
      <x:c r="F7" s="8" t="str">
        <x:v>Measure</x:v>
      </x:c>
      <x:c r="G7" s="8" t="str">
        <x:v>Value</x:v>
      </x:c>
      <x:c r="H7" s="3"/>
    </x:row>
    <x:row r="8" ht="24" customHeight="1">
      <x:c r="A8" s="3" t="str">
        <x:v>P01</x:v>
      </x:c>
      <x:c r="B8" s="3" t="str">
        <x:v>Poster</x:v>
      </x:c>
      <x:c r="C8" s="3" t="str">
        <x:v>Print</x:v>
      </x:c>
      <x:c r="D8" s="3" t="n">
        <x:v>12</x:v>
      </x:c>
      <x:c r="E8" s="3"/>
      <x:c r="F8" s="3" t="str">
        <x:v>All quantities</x:v>
      </x:c>
      <x:c r="G8" s="11" t="n">
        <x:f>SUM(D8:D13)</x:f>
        <x:v>106</x:v>
      </x:c>
      <x:c r="H8" s="3"/>
    </x:row>
    <x:row r="9" ht="24" customHeight="1">
      <x:c r="A9" s="3" t="str">
        <x:v>A02</x:v>
      </x:c>
      <x:c r="B9" s="3" t="str">
        <x:v>Audio</x:v>
      </x:c>
      <x:c r="C9" s="3" t="str">
        <x:v>Online</x:v>
      </x:c>
      <x:c r="D9" s="3" t="n">
        <x:v>8</x:v>
      </x:c>
      <x:c r="E9" s="3"/>
      <x:c r="F9" s="3" t="str">
        <x:v>Visible quantities</x:v>
      </x:c>
      <x:c r="G9" s="11" t="n">
        <x:f>SUBTOTAL(109,D8:D13)</x:f>
        <x:v>106</x:v>
      </x:c>
      <x:c r="H9" s="3"/>
    </x:row>
    <x:row r="10" ht="24" customHeight="1">
      <x:c r="A10" s="3" t="str">
        <x:v>V03</x:v>
      </x:c>
      <x:c r="B10" s="3" t="str">
        <x:v>Video</x:v>
      </x:c>
      <x:c r="C10" s="3" t="str">
        <x:v>Online</x:v>
      </x:c>
      <x:c r="D10" s="3" t="n">
        <x:v>30</x:v>
      </x:c>
      <x:c r="E10" s="3"/>
      <x:c r="F10" s="3" t="str">
        <x:v>Visible records</x:v>
      </x:c>
      <x:c r="G10" s="11" t="n">
        <x:f>SUBTOTAL(103,A8:A13)</x:f>
        <x:v>6</x:v>
      </x:c>
      <x:c r="H10" s="3"/>
    </x:row>
    <x:row r="11" ht="24" customHeight="1">
      <x:c r="A11" s="3" t="str">
        <x:v>S04</x:v>
      </x:c>
      <x:c r="B11" s="3" t="str">
        <x:v>Social tiles</x:v>
      </x:c>
      <x:c r="C11" s="3" t="str">
        <x:v>Online</x:v>
      </x:c>
      <x:c r="D11" s="3" t="n">
        <x:v>16</x:v>
      </x:c>
      <x:c r="E11" s="3"/>
      <x:c r="F11" s="3"/>
      <x:c r="G11" s="3"/>
      <x:c r="H11" s="3"/>
    </x:row>
    <x:row r="12" ht="24" customHeight="1">
      <x:c r="A12" s="3" t="str">
        <x:v>F05</x:v>
      </x:c>
      <x:c r="B12" s="3" t="str">
        <x:v>Flyer</x:v>
      </x:c>
      <x:c r="C12" s="3" t="str">
        <x:v>Print</x:v>
      </x:c>
      <x:c r="D12" s="3" t="n">
        <x:v>40</x:v>
      </x:c>
      <x:c r="E12" s="3"/>
      <x:c r="F12" s="3"/>
      <x:c r="G12" s="3"/>
      <x:c r="H12" s="3"/>
    </x:row>
    <x:row r="13" ht="24" customHeight="1">
      <x:c r="A13" s="3" t="str">
        <x:v>Z00</x:v>
      </x:c>
      <x:c r="B13" s="3" t="str">
        <x:v>Spare cards</x:v>
      </x:c>
      <x:c r="C13" s="3" t="str">
        <x:v>Print</x:v>
      </x:c>
      <x:c r="D13" s="3" t="n">
        <x:v>0</x:v>
      </x:c>
      <x:c r="E13" s="3"/>
      <x:c r="F13" s="3"/>
      <x:c r="G13" s="3"/>
      <x:c r="H13" s="3"/>
    </x:row>
    <x:row r="14" ht="24" customHeight="1">
      <x:c r="A14" s="3"/>
      <x:c r="B14" s="3"/>
      <x:c r="C14" s="3"/>
      <x:c r="D14" s="3"/>
      <x:c r="E14" s="3"/>
      <x:c r="F14" s="3"/>
      <x:c r="G14" s="3"/>
      <x:c r="H14" s="3"/>
    </x:row>
    <x:row r="15" ht="24" customHeight="1">
      <x:c r="A15" s="3"/>
      <x:c r="B15" s="3"/>
      <x:c r="C15" s="3"/>
      <x:c r="D15" s="3"/>
      <x:c r="E15" s="3"/>
      <x:c r="F15" s="3"/>
      <x:c r="G15" s="3"/>
      <x:c r="H15" s="3"/>
    </x:row>
    <x:row r="16" ht="24" customHeight="1">
      <x:c r="A16" s="3" t="str">
        <x:v>1. Sort Quantity smallest to largest. Check each code still has its original asset and quantity.</x:v>
      </x:c>
      <x:c r="B16" s="3"/>
      <x:c r="C16" s="3"/>
      <x:c r="D16" s="3"/>
      <x:c r="E16" s="3"/>
      <x:c r="F16" s="3"/>
      <x:c r="G16" s="3"/>
      <x:c r="H16" s="3"/>
    </x:row>
    <x:row r="17" ht="24" customHeight="1">
      <x:c r="A17" s="3" t="str">
        <x:v>2. Filter Quantity greater than 10. Compare all quantities with visible quantities and records.</x:v>
      </x:c>
      <x:c r="B17" s="3"/>
      <x:c r="C17" s="3"/>
      <x:c r="D17" s="3"/>
      <x:c r="E17" s="3"/>
      <x:c r="F17" s="3"/>
      <x:c r="G17" s="3"/>
      <x:c r="H17" s="3"/>
    </x:row>
    <x:row r="18" ht="24" customHeight="1">
      <x:c r="A18" s="3" t="str">
        <x:v>3. Clear the filter. Confirm all six records return. Filtering does not delete rows.</x:v>
      </x:c>
      <x:c r="B18" s="3"/>
      <x:c r="C18" s="3"/>
      <x:c r="D18" s="3"/>
      <x:c r="E18" s="3"/>
      <x:c r="F18" s="3"/>
      <x:c r="G18" s="3"/>
      <x:c r="H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</x:row>
    <x:row r="20" ht="24" customHeight="1">
      <x:c r="A20" s="3" t="str">
        <x:v>SUM includes filtered-out values. SUBTOTAL 109/103 exclude filtered-out and manually hidden rows.</x:v>
      </x:c>
      <x:c r="B20" s="3"/>
      <x:c r="C20" s="3"/>
      <x:c r="D20" s="3"/>
      <x:c r="E20" s="3"/>
      <x:c r="F20" s="3"/>
      <x:c r="G20" s="3"/>
      <x:c r="H20" s="3"/>
    </x:row>
    <x:row r="21" ht="24" customHeight="1">
      <x:c r="A21" s="3" t="str">
        <x:v>Use campaign-resources.csv to restore the original data if you break record relationships.</x:v>
      </x:c>
      <x:c r="B21" s="3"/>
      <x:c r="C21" s="3"/>
      <x:c r="D21" s="3"/>
      <x:c r="E21" s="3"/>
      <x:c r="F21" s="3"/>
      <x:c r="G21" s="3"/>
      <x:c r="H21" s="3"/>
    </x:row>
    <x:row r="22" ht="24" customHeight="1">
      <x:c r="A22" s="3"/>
      <x:c r="B22" s="3"/>
      <x:c r="C22" s="3"/>
      <x:c r="D22" s="3"/>
      <x:c r="E22" s="3"/>
      <x:c r="F22" s="3"/>
      <x:c r="G22" s="3"/>
      <x:c r="H22" s="3"/>
    </x:row>
    <x:row r="23" ht="24" customHeight="1">
      <x:c r="A23" s="3"/>
      <x:c r="B23" s="3"/>
      <x:c r="C23" s="3"/>
      <x:c r="D23" s="3"/>
      <x:c r="E23" s="3"/>
      <x:c r="F23" s="3"/>
      <x:c r="G23" s="3"/>
      <x:c r="H23" s="3"/>
    </x:row>
    <x:row r="24" ht="24" customHeight="1">
      <x:c r="A24" s="3"/>
      <x:c r="B24" s="3"/>
      <x:c r="C24" s="3"/>
      <x:c r="D24" s="3"/>
      <x:c r="E24" s="3"/>
      <x:c r="F24" s="3"/>
      <x:c r="G24" s="3"/>
      <x:c r="H24" s="3"/>
    </x:row>
    <x:row r="25" ht="24" customHeight="1">
      <x:c r="A25" s="3"/>
      <x:c r="B25" s="3"/>
      <x:c r="C25" s="3"/>
      <x:c r="D25" s="3"/>
      <x:c r="E25" s="3"/>
      <x:c r="F25" s="3"/>
      <x:c r="G25" s="3"/>
      <x:c r="H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</x:row>
  </x:sheetData>
  <x:pageMargins left="0.7" right="0.7" top="0.75" bottom="0.75" header="0.3" footer="0.3"/>
  <x:tableParts count="1">
    <x:tablePart xmlns:r="http://schemas.openxmlformats.org/officeDocument/2006/relationships" r:id="R3b3f142aefb04dc0"/>
  </x:tableParts>
</x:worksheet>
</file>